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bioskinitalia-my.sharepoint.com/personal/stefano_trentini_bioskinitalia_onmicrosoft_com/Documents/Documenti/Field_Mill/Calibrazione/"/>
    </mc:Choice>
  </mc:AlternateContent>
  <xr:revisionPtr revIDLastSave="120" documentId="13_ncr:1_{D8AA0A5C-A9AE-485A-B993-3C8AFB27B1DA}" xr6:coauthVersionLast="47" xr6:coauthVersionMax="47" xr10:uidLastSave="{37ECB86E-11C3-48A8-B15A-877E5D2DADFC}"/>
  <bookViews>
    <workbookView xWindow="28680" yWindow="15" windowWidth="29040" windowHeight="158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C87" i="1"/>
  <c r="A88" i="1"/>
  <c r="A87" i="1"/>
  <c r="A27" i="1"/>
  <c r="A26" i="1"/>
  <c r="C27" i="1"/>
  <c r="C26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64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A30" i="1" l="1" a="1"/>
  <c r="A30" i="1" s="1"/>
  <c r="A34" i="1" s="1" a="1"/>
  <c r="E26" i="1"/>
  <c r="A91" i="1" a="1"/>
  <c r="A91" i="1" s="1"/>
  <c r="A95" i="1" s="1" a="1"/>
  <c r="E87" i="1"/>
  <c r="A95" i="1" l="1"/>
  <c r="B102" i="1"/>
  <c r="A34" i="1"/>
  <c r="B41" i="1"/>
  <c r="C95" i="1" l="1" a="1"/>
  <c r="C95" i="1" s="1"/>
  <c r="B101" i="1"/>
  <c r="C34" i="1" a="1"/>
  <c r="C34" i="1" s="1"/>
  <c r="B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<sst xmlns="http://schemas.openxmlformats.org/spreadsheetml/2006/main" count="29" uniqueCount="15">
  <si>
    <t>Campo imposto V/m</t>
  </si>
  <si>
    <t>Campo misurato V/m</t>
  </si>
  <si>
    <t>Tensione alimentatore V con d = 20cm</t>
  </si>
  <si>
    <t>Matrice inversa</t>
  </si>
  <si>
    <t>Determinante</t>
  </si>
  <si>
    <t>Soluzione</t>
  </si>
  <si>
    <t>Verifica</t>
  </si>
  <si>
    <t>m(Valore Misurato)+b = Valore Imposto</t>
  </si>
  <si>
    <t>Gain</t>
  </si>
  <si>
    <t>Offset</t>
  </si>
  <si>
    <t>Matrice dei coefficienti</t>
  </si>
  <si>
    <t>Fattore di scala</t>
  </si>
  <si>
    <t>SW Gain</t>
  </si>
  <si>
    <t>SW Offset</t>
  </si>
  <si>
    <t>Attenzione: SW gain e SW offset sono i valori da caricare nel firmware per la calibrazione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</si>
</sst>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1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1" xfId="0" applyFill="1" applyBorder="1"/>
    <xf numFmtId="0" fontId="0" fillId="10" borderId="0" xfId="0" applyFill="1"/>
    <xf numFmtId="164" fontId="0" fillId="9" borderId="1" xfId="0" applyNumberFormat="1" applyFill="1" applyBorder="1"/>
    <xf numFmtId="0" fontId="0" fillId="5" borderId="1" xfId="0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Calibrazione Sensitive Channel Gain = 2000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Foglio1!$A$5:$A$21</c:f>
              <c:numCache>
                <c:formatCode>General</c:formatCode>
                <c:ptCount val="17"/>
                <c:pt idx="0">
                  <c:v>-25000</c:v>
                </c:pt>
                <c:pt idx="1">
                  <c:v>-15000</c:v>
                </c:pt>
                <c:pt idx="2">
                  <c:v>-10000</c:v>
                </c:pt>
                <c:pt idx="3">
                  <c:v>-5000</c:v>
                </c:pt>
                <c:pt idx="4">
                  <c:v>-1000</c:v>
                </c:pt>
                <c:pt idx="5">
                  <c:v>-500</c:v>
                </c:pt>
                <c:pt idx="6">
                  <c:v>-200</c:v>
                </c:pt>
                <c:pt idx="7">
                  <c:v>-50</c:v>
                </c:pt>
                <c:pt idx="8">
                  <c:v>0</c:v>
                </c:pt>
                <c:pt idx="9">
                  <c:v>50</c:v>
                </c:pt>
                <c:pt idx="10">
                  <c:v>200</c:v>
                </c:pt>
                <c:pt idx="11">
                  <c:v>500</c:v>
                </c:pt>
                <c:pt idx="12">
                  <c:v>1000</c:v>
                </c:pt>
                <c:pt idx="13">
                  <c:v>5000</c:v>
                </c:pt>
                <c:pt idx="14">
                  <c:v>10000</c:v>
                </c:pt>
                <c:pt idx="15">
                  <c:v>15000</c:v>
                </c:pt>
                <c:pt idx="16">
                  <c:v>25000</c:v>
                </c:pt>
              </c:numCache>
            </c:numRef>
          </c:xVal>
          <c:yVal>
            <c:numRef>
              <c:f>Foglio1!$B$5:$B$21</c:f>
              <c:numCache>
                <c:formatCode>General</c:formatCode>
                <c:ptCount val="17"/>
                <c:pt idx="0">
                  <c:v>-24900</c:v>
                </c:pt>
                <c:pt idx="1">
                  <c:v>-14000</c:v>
                </c:pt>
                <c:pt idx="2">
                  <c:v>-10000</c:v>
                </c:pt>
                <c:pt idx="3">
                  <c:v>-4500</c:v>
                </c:pt>
                <c:pt idx="4">
                  <c:v>-900</c:v>
                </c:pt>
                <c:pt idx="5">
                  <c:v>-400</c:v>
                </c:pt>
                <c:pt idx="6">
                  <c:v>-202</c:v>
                </c:pt>
                <c:pt idx="7">
                  <c:v>-40</c:v>
                </c:pt>
                <c:pt idx="8">
                  <c:v>-30</c:v>
                </c:pt>
                <c:pt idx="9">
                  <c:v>40</c:v>
                </c:pt>
                <c:pt idx="10">
                  <c:v>50.1</c:v>
                </c:pt>
                <c:pt idx="11">
                  <c:v>550</c:v>
                </c:pt>
                <c:pt idx="12">
                  <c:v>1100</c:v>
                </c:pt>
                <c:pt idx="13">
                  <c:v>5600</c:v>
                </c:pt>
                <c:pt idx="14">
                  <c:v>10400</c:v>
                </c:pt>
                <c:pt idx="15">
                  <c:v>15600</c:v>
                </c:pt>
                <c:pt idx="16">
                  <c:v>25500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1-4117-A474-DD255B7851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37270847"/>
        <c:axId val="1217412143"/>
      </c:scatterChart>
      <c:valAx>
        <c:axId val="13372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Campo imposto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7412143"/>
        <c:crosses val="autoZero"/>
        <c:crossBetween val="midCat"/>
      </c:valAx>
      <c:valAx>
        <c:axId val="12174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Campo misurato</a:t>
                </a:r>
              </a:p>
            </c:rich>
          </c:tx>
          <c:layout>
            <c:manualLayout>
              <c:xMode val="edge"/>
              <c:yMode val="edge"/>
              <c:x val="1.5946725727246789E-2"/>
              <c:y val="0.36678586229352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2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Calibrazione</a:t>
            </a:r>
            <a:r>
              <a:rPr lang="it-IT" baseline="0"/>
              <a:t> Insensitive Channel Gain = 20000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Foglio1!$A$64:$A$82</c:f>
              <c:numCache>
                <c:formatCode>General</c:formatCode>
                <c:ptCount val="19"/>
                <c:pt idx="0">
                  <c:v>-75000</c:v>
                </c:pt>
                <c:pt idx="1">
                  <c:v>-70000</c:v>
                </c:pt>
                <c:pt idx="2">
                  <c:v>-60000</c:v>
                </c:pt>
                <c:pt idx="3">
                  <c:v>-50000</c:v>
                </c:pt>
                <c:pt idx="4">
                  <c:v>-30000</c:v>
                </c:pt>
                <c:pt idx="5">
                  <c:v>-20000</c:v>
                </c:pt>
                <c:pt idx="6">
                  <c:v>-10000</c:v>
                </c:pt>
                <c:pt idx="7">
                  <c:v>-5000</c:v>
                </c:pt>
                <c:pt idx="8">
                  <c:v>-1000</c:v>
                </c:pt>
                <c:pt idx="9">
                  <c:v>0</c:v>
                </c:pt>
                <c:pt idx="10">
                  <c:v>1000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60000</c:v>
                </c:pt>
                <c:pt idx="17">
                  <c:v>70000</c:v>
                </c:pt>
                <c:pt idx="18">
                  <c:v>50000</c:v>
                </c:pt>
              </c:numCache>
            </c:numRef>
          </c:xVal>
          <c:yVal>
            <c:numRef>
              <c:f>Foglio1!$B$64:$B$82</c:f>
              <c:numCache>
                <c:formatCode>General</c:formatCode>
                <c:ptCount val="19"/>
                <c:pt idx="0">
                  <c:v>-73000</c:v>
                </c:pt>
                <c:pt idx="1">
                  <c:v>-69000</c:v>
                </c:pt>
                <c:pt idx="2">
                  <c:v>-58000</c:v>
                </c:pt>
                <c:pt idx="3">
                  <c:v>-47000</c:v>
                </c:pt>
                <c:pt idx="4">
                  <c:v>-29000</c:v>
                </c:pt>
                <c:pt idx="5">
                  <c:v>-19000</c:v>
                </c:pt>
                <c:pt idx="6">
                  <c:v>-9500</c:v>
                </c:pt>
                <c:pt idx="7">
                  <c:v>-5500</c:v>
                </c:pt>
                <c:pt idx="8">
                  <c:v>-900</c:v>
                </c:pt>
                <c:pt idx="9">
                  <c:v>50</c:v>
                </c:pt>
                <c:pt idx="10">
                  <c:v>736</c:v>
                </c:pt>
                <c:pt idx="11">
                  <c:v>5540</c:v>
                </c:pt>
                <c:pt idx="12">
                  <c:v>11317</c:v>
                </c:pt>
                <c:pt idx="13">
                  <c:v>22800</c:v>
                </c:pt>
                <c:pt idx="14">
                  <c:v>34300</c:v>
                </c:pt>
                <c:pt idx="15">
                  <c:v>57300</c:v>
                </c:pt>
                <c:pt idx="16">
                  <c:v>68700</c:v>
                </c:pt>
                <c:pt idx="17">
                  <c:v>80000</c:v>
                </c:pt>
                <c:pt idx="18">
                  <c:v>44600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60-4C41-A403-75AA27EDC9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0403407"/>
        <c:axId val="1217388143"/>
      </c:scatterChart>
      <c:valAx>
        <c:axId val="138040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Campo</a:t>
                </a:r>
                <a:r>
                  <a:rPr lang="it-IT" baseline="0"/>
                  <a:t> imposto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7388143"/>
        <c:crosses val="autoZero"/>
        <c:crossBetween val="midCat"/>
      </c:valAx>
      <c:valAx>
        <c:axId val="12173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Campo</a:t>
                </a:r>
                <a:r>
                  <a:rPr lang="it-IT" baseline="0"/>
                  <a:t> misurato </a:t>
                </a:r>
              </a:p>
            </c:rich>
          </c:tx>
          <c:layout>
            <c:manualLayout>
              <c:xMode val="edge"/>
              <c:yMode val="edge"/>
              <c:x val="1.1759259259259259E-2"/>
              <c:y val="0.40337479423868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040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</xdr:colOff>
      <xdr:row>4</xdr:row>
      <xdr:rowOff>30692</xdr:rowOff>
    </xdr:from>
    <xdr:to>
      <xdr:col>21</xdr:col>
      <xdr:colOff>547424</xdr:colOff>
      <xdr:row>55</xdr:row>
      <xdr:rowOff>35192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3F47A83-BDA5-C05C-DA18-13070F8E766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</xdr:colOff>
      <xdr:row>63</xdr:row>
      <xdr:rowOff>13230</xdr:rowOff>
    </xdr:from>
    <xdr:to>
      <xdr:col>22</xdr:col>
      <xdr:colOff>269612</xdr:colOff>
      <xdr:row>114</xdr:row>
      <xdr:rowOff>17730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B48B5D7-F2AA-64AC-EE27-CCA27EB78F1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107"/>
  <sheetViews>
    <sheetView tabSelected="1" topLeftCell="A19" zoomScaleNormal="100" workbookViewId="0">
      <selection activeCell="B84" sqref="B84"/>
    </sheetView>
  </sheetViews>
  <sheetFormatPr defaultRowHeight="15" x14ac:dyDescent="0.25"/>
  <cols>
    <col min="1" max="1" width="37.5703125" customWidth="1"/>
    <col min="2" max="2" width="35.7109375" customWidth="1"/>
    <col min="3" max="3" width="35.42578125" customWidth="1"/>
    <col min="5" max="5" width="13.85546875" customWidth="1"/>
  </cols>
  <sheetData>
    <row r="3" spans="1:20" x14ac:dyDescent="0.25">
      <c r="A3" s="3" t="s">
        <v>0</v>
      </c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4"/>
      <c r="B4" s="4"/>
    </row>
    <row r="5" spans="1:20" x14ac:dyDescent="0.25">
      <c r="A5" s="4">
        <v>-25000</v>
      </c>
      <c r="B5" s="4">
        <v>-24900</v>
      </c>
      <c r="C5" s="4">
        <v>-5000</v>
      </c>
    </row>
    <row r="6" spans="1:20" x14ac:dyDescent="0.25">
      <c r="A6" s="4">
        <v>-15000</v>
      </c>
      <c r="B6" s="4">
        <v>-14000</v>
      </c>
      <c r="C6" s="4">
        <f t="shared" ref="C6:C21" si="0">A6/5</f>
        <v>-3000</v>
      </c>
    </row>
    <row r="7" spans="1:20" x14ac:dyDescent="0.25">
      <c r="A7" s="4">
        <v>-10000</v>
      </c>
      <c r="B7" s="4">
        <v>-10000</v>
      </c>
      <c r="C7" s="4">
        <f t="shared" si="0"/>
        <v>-2000</v>
      </c>
    </row>
    <row r="8" spans="1:20" x14ac:dyDescent="0.25">
      <c r="A8" s="4">
        <v>-5000</v>
      </c>
      <c r="B8" s="4">
        <v>-4500</v>
      </c>
      <c r="C8" s="4">
        <f t="shared" si="0"/>
        <v>-1000</v>
      </c>
    </row>
    <row r="9" spans="1:20" x14ac:dyDescent="0.25">
      <c r="A9" s="4">
        <v>-1000</v>
      </c>
      <c r="B9" s="4">
        <v>-900</v>
      </c>
      <c r="C9" s="4">
        <f t="shared" si="0"/>
        <v>-200</v>
      </c>
    </row>
    <row r="10" spans="1:20" x14ac:dyDescent="0.25">
      <c r="A10" s="4">
        <v>-500</v>
      </c>
      <c r="B10" s="4">
        <v>-400</v>
      </c>
      <c r="C10" s="4">
        <f t="shared" si="0"/>
        <v>-100</v>
      </c>
    </row>
    <row r="11" spans="1:20" x14ac:dyDescent="0.25">
      <c r="A11" s="4">
        <v>-200</v>
      </c>
      <c r="B11" s="4">
        <v>-202</v>
      </c>
      <c r="C11" s="4">
        <v>-40</v>
      </c>
    </row>
    <row r="12" spans="1:20" x14ac:dyDescent="0.25">
      <c r="A12" s="4">
        <v>-50</v>
      </c>
      <c r="B12" s="4">
        <v>-40</v>
      </c>
      <c r="C12" s="4">
        <f t="shared" si="0"/>
        <v>-10</v>
      </c>
    </row>
    <row r="13" spans="1:20" x14ac:dyDescent="0.25">
      <c r="A13" s="4">
        <v>0</v>
      </c>
      <c r="B13" s="4">
        <v>-30</v>
      </c>
      <c r="C13" s="4">
        <f t="shared" si="0"/>
        <v>0</v>
      </c>
    </row>
    <row r="14" spans="1:20" x14ac:dyDescent="0.25">
      <c r="A14" s="4">
        <v>50</v>
      </c>
      <c r="B14" s="4">
        <v>40</v>
      </c>
      <c r="C14" s="4">
        <f t="shared" si="0"/>
        <v>10</v>
      </c>
    </row>
    <row r="15" spans="1:20" x14ac:dyDescent="0.25">
      <c r="A15" s="26">
        <v>200</v>
      </c>
      <c r="B15" s="26">
        <v>50.1</v>
      </c>
      <c r="C15" s="14">
        <f t="shared" si="0"/>
        <v>40</v>
      </c>
    </row>
    <row r="16" spans="1:20" x14ac:dyDescent="0.25">
      <c r="A16" s="4">
        <v>500</v>
      </c>
      <c r="B16" s="4">
        <v>550</v>
      </c>
      <c r="C16" s="4">
        <f t="shared" si="0"/>
        <v>100</v>
      </c>
    </row>
    <row r="17" spans="1:5" x14ac:dyDescent="0.25">
      <c r="A17" s="4">
        <v>1000</v>
      </c>
      <c r="B17" s="4">
        <v>1100</v>
      </c>
      <c r="C17" s="4">
        <f t="shared" si="0"/>
        <v>200</v>
      </c>
    </row>
    <row r="18" spans="1:5" x14ac:dyDescent="0.25">
      <c r="A18" s="4">
        <v>5000</v>
      </c>
      <c r="B18" s="4">
        <v>5600</v>
      </c>
      <c r="C18" s="4">
        <f t="shared" si="0"/>
        <v>1000</v>
      </c>
    </row>
    <row r="19" spans="1:5" x14ac:dyDescent="0.25">
      <c r="A19" s="4">
        <v>10000</v>
      </c>
      <c r="B19" s="4">
        <v>10400</v>
      </c>
      <c r="C19" s="4">
        <f t="shared" si="0"/>
        <v>2000</v>
      </c>
    </row>
    <row r="20" spans="1:5" x14ac:dyDescent="0.25">
      <c r="A20" s="4">
        <v>15000</v>
      </c>
      <c r="B20" s="4">
        <v>15600</v>
      </c>
      <c r="C20" s="4">
        <f t="shared" si="0"/>
        <v>3000</v>
      </c>
    </row>
    <row r="21" spans="1:5" x14ac:dyDescent="0.25">
      <c r="A21" s="26">
        <v>25000</v>
      </c>
      <c r="B21" s="26">
        <v>25500</v>
      </c>
      <c r="C21" s="14">
        <f t="shared" si="0"/>
        <v>5000</v>
      </c>
    </row>
    <row r="22" spans="1:5" x14ac:dyDescent="0.25">
      <c r="A22" s="4"/>
      <c r="B22" s="4"/>
    </row>
    <row r="23" spans="1:5" x14ac:dyDescent="0.25">
      <c r="A23" s="9" t="s">
        <v>7</v>
      </c>
      <c r="B23" s="4"/>
    </row>
    <row r="24" spans="1:5" x14ac:dyDescent="0.25">
      <c r="A24" s="4"/>
      <c r="B24" s="4"/>
    </row>
    <row r="25" spans="1:5" x14ac:dyDescent="0.25">
      <c r="A25" s="12" t="s">
        <v>10</v>
      </c>
      <c r="B25" s="4"/>
      <c r="E25" s="1" t="s">
        <v>4</v>
      </c>
    </row>
    <row r="26" spans="1:5" x14ac:dyDescent="0.25">
      <c r="A26" s="8">
        <f>B15</f>
        <v>50.1</v>
      </c>
      <c r="B26" s="8">
        <v>1</v>
      </c>
      <c r="C26" s="6">
        <f>A15</f>
        <v>200</v>
      </c>
      <c r="E26" s="13">
        <f>MDETERM(A26:B27)</f>
        <v>-25449.899999999998</v>
      </c>
    </row>
    <row r="27" spans="1:5" x14ac:dyDescent="0.25">
      <c r="A27" s="8">
        <f>B21</f>
        <v>25500</v>
      </c>
      <c r="B27" s="8">
        <v>1</v>
      </c>
      <c r="C27" s="6">
        <f>A21</f>
        <v>25000</v>
      </c>
    </row>
    <row r="28" spans="1:5" x14ac:dyDescent="0.25">
      <c r="A28" s="4"/>
      <c r="B28" s="4"/>
    </row>
    <row r="29" spans="1:5" x14ac:dyDescent="0.25">
      <c r="A29" s="12" t="s">
        <v>3</v>
      </c>
      <c r="B29" s="4"/>
    </row>
    <row r="30" spans="1:5" x14ac:dyDescent="0.25">
      <c r="A30" s="7" cm="1">
        <f t="array" ref="A30:B31">MINVERSE(A26:B27)</f>
        <v>-3.9292885237270093E-5</v>
      </c>
      <c r="B30" s="7">
        <v>3.9292885237270087E-5</v>
      </c>
    </row>
    <row r="31" spans="1:5" x14ac:dyDescent="0.25">
      <c r="A31" s="7">
        <v>1.0019685735503874</v>
      </c>
      <c r="B31" s="7">
        <v>-1.9685735503872318E-3</v>
      </c>
    </row>
    <row r="32" spans="1:5" x14ac:dyDescent="0.25">
      <c r="A32" s="4"/>
      <c r="B32" s="4"/>
    </row>
    <row r="33" spans="1:3" x14ac:dyDescent="0.25">
      <c r="A33" s="12" t="s">
        <v>5</v>
      </c>
      <c r="B33" s="4"/>
      <c r="C33" s="1" t="s">
        <v>6</v>
      </c>
    </row>
    <row r="34" spans="1:3" x14ac:dyDescent="0.25">
      <c r="A34" s="10" cm="1">
        <f t="array" ref="A34:A35">MMULT(A30:B31,C26:C27)</f>
        <v>0.97446355388429806</v>
      </c>
      <c r="B34" s="9" t="s">
        <v>8</v>
      </c>
      <c r="C34" s="11" cm="1">
        <f t="array" ref="C34:C35">MMULT(A26:B27,A34:A35)</f>
        <v>200</v>
      </c>
    </row>
    <row r="35" spans="1:3" x14ac:dyDescent="0.25">
      <c r="A35" s="10">
        <v>151.17937595039666</v>
      </c>
      <c r="B35" s="9" t="s">
        <v>9</v>
      </c>
      <c r="C35" s="11">
        <v>24999.999999999996</v>
      </c>
    </row>
    <row r="36" spans="1:3" x14ac:dyDescent="0.25">
      <c r="A36" s="4"/>
      <c r="B36" s="4"/>
    </row>
    <row r="37" spans="1:3" x14ac:dyDescent="0.25">
      <c r="A37" s="4"/>
      <c r="B37" s="4"/>
    </row>
    <row r="38" spans="1:3" x14ac:dyDescent="0.25">
      <c r="A38" s="12" t="s">
        <v>11</v>
      </c>
      <c r="B38" s="22">
        <v>3000</v>
      </c>
    </row>
    <row r="39" spans="1:3" x14ac:dyDescent="0.25">
      <c r="A39" s="4"/>
      <c r="B39" s="4"/>
    </row>
    <row r="40" spans="1:3" x14ac:dyDescent="0.25">
      <c r="A40" s="25" t="s">
        <v>12</v>
      </c>
      <c r="B40" s="23">
        <f>A34*B38</f>
        <v>2923.3906616528943</v>
      </c>
    </row>
    <row r="41" spans="1:3" x14ac:dyDescent="0.25">
      <c r="A41" s="25" t="s">
        <v>13</v>
      </c>
      <c r="B41" s="23">
        <f>-(A35)</f>
        <v>-151.17937595039666</v>
      </c>
    </row>
    <row r="42" spans="1:3" x14ac:dyDescent="0.25">
      <c r="A42" s="4"/>
      <c r="B42" s="4"/>
    </row>
    <row r="43" spans="1:3" x14ac:dyDescent="0.25">
      <c r="A43" s="4"/>
      <c r="B43" s="4"/>
    </row>
    <row r="62" spans="1:20" x14ac:dyDescent="0.25">
      <c r="A62" s="3" t="s">
        <v>0</v>
      </c>
      <c r="B62" s="3" t="s">
        <v>1</v>
      </c>
      <c r="C62" s="3" t="s">
        <v>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4" spans="1:20" x14ac:dyDescent="0.25">
      <c r="A64" s="5">
        <v>-75000</v>
      </c>
      <c r="B64" s="5">
        <v>-73000</v>
      </c>
      <c r="C64" s="5">
        <f>A64/5</f>
        <v>-15000</v>
      </c>
    </row>
    <row r="65" spans="1:3" x14ac:dyDescent="0.25">
      <c r="A65" s="5">
        <v>-70000</v>
      </c>
      <c r="B65" s="5">
        <v>-69000</v>
      </c>
      <c r="C65" s="5">
        <f t="shared" ref="C65:C82" si="1">A65/5</f>
        <v>-14000</v>
      </c>
    </row>
    <row r="66" spans="1:3" x14ac:dyDescent="0.25">
      <c r="A66" s="5">
        <v>-60000</v>
      </c>
      <c r="B66" s="5">
        <v>-58000</v>
      </c>
      <c r="C66" s="5">
        <f t="shared" si="1"/>
        <v>-12000</v>
      </c>
    </row>
    <row r="67" spans="1:3" x14ac:dyDescent="0.25">
      <c r="A67" s="5">
        <v>-50000</v>
      </c>
      <c r="B67" s="5">
        <v>-47000</v>
      </c>
      <c r="C67" s="5">
        <f t="shared" si="1"/>
        <v>-10000</v>
      </c>
    </row>
    <row r="68" spans="1:3" x14ac:dyDescent="0.25">
      <c r="A68" s="5">
        <v>-30000</v>
      </c>
      <c r="B68" s="5">
        <v>-29000</v>
      </c>
      <c r="C68" s="5">
        <f t="shared" si="1"/>
        <v>-6000</v>
      </c>
    </row>
    <row r="69" spans="1:3" x14ac:dyDescent="0.25">
      <c r="A69" s="5">
        <v>-20000</v>
      </c>
      <c r="B69" s="5">
        <v>-19000</v>
      </c>
      <c r="C69" s="5">
        <f t="shared" si="1"/>
        <v>-4000</v>
      </c>
    </row>
    <row r="70" spans="1:3" x14ac:dyDescent="0.25">
      <c r="A70" s="5">
        <v>-10000</v>
      </c>
      <c r="B70" s="5">
        <v>-9500</v>
      </c>
      <c r="C70" s="5">
        <f t="shared" si="1"/>
        <v>-2000</v>
      </c>
    </row>
    <row r="71" spans="1:3" x14ac:dyDescent="0.25">
      <c r="A71" s="5">
        <v>-5000</v>
      </c>
      <c r="B71" s="5">
        <v>-5500</v>
      </c>
      <c r="C71" s="5">
        <f t="shared" si="1"/>
        <v>-1000</v>
      </c>
    </row>
    <row r="72" spans="1:3" x14ac:dyDescent="0.25">
      <c r="A72" s="5">
        <v>-1000</v>
      </c>
      <c r="B72" s="5">
        <v>-900</v>
      </c>
      <c r="C72" s="5">
        <f t="shared" si="1"/>
        <v>-200</v>
      </c>
    </row>
    <row r="73" spans="1:3" x14ac:dyDescent="0.25">
      <c r="A73" s="5">
        <v>0</v>
      </c>
      <c r="B73" s="5">
        <v>50</v>
      </c>
      <c r="C73" s="5">
        <f t="shared" si="1"/>
        <v>0</v>
      </c>
    </row>
    <row r="74" spans="1:3" x14ac:dyDescent="0.25">
      <c r="A74" s="27">
        <v>1000</v>
      </c>
      <c r="B74" s="27">
        <v>736</v>
      </c>
      <c r="C74" s="15">
        <f t="shared" si="1"/>
        <v>200</v>
      </c>
    </row>
    <row r="75" spans="1:3" x14ac:dyDescent="0.25">
      <c r="A75" s="5">
        <v>5000</v>
      </c>
      <c r="B75" s="5">
        <v>5540</v>
      </c>
      <c r="C75" s="5">
        <f t="shared" si="1"/>
        <v>1000</v>
      </c>
    </row>
    <row r="76" spans="1:3" x14ac:dyDescent="0.25">
      <c r="A76" s="5">
        <v>10000</v>
      </c>
      <c r="B76" s="5">
        <v>11317</v>
      </c>
      <c r="C76" s="5">
        <f t="shared" si="1"/>
        <v>2000</v>
      </c>
    </row>
    <row r="77" spans="1:3" x14ac:dyDescent="0.25">
      <c r="A77" s="5">
        <v>20000</v>
      </c>
      <c r="B77" s="5">
        <v>22800</v>
      </c>
      <c r="C77" s="5">
        <f t="shared" si="1"/>
        <v>4000</v>
      </c>
    </row>
    <row r="78" spans="1:3" x14ac:dyDescent="0.25">
      <c r="A78" s="5">
        <v>30000</v>
      </c>
      <c r="B78" s="5">
        <v>34300</v>
      </c>
      <c r="C78" s="5">
        <f t="shared" si="1"/>
        <v>6000</v>
      </c>
    </row>
    <row r="79" spans="1:3" x14ac:dyDescent="0.25">
      <c r="A79" s="5">
        <v>50000</v>
      </c>
      <c r="B79" s="5">
        <v>57300</v>
      </c>
      <c r="C79" s="5">
        <f t="shared" si="1"/>
        <v>10000</v>
      </c>
    </row>
    <row r="80" spans="1:3" x14ac:dyDescent="0.25">
      <c r="A80" s="5">
        <v>60000</v>
      </c>
      <c r="B80" s="5">
        <v>68700</v>
      </c>
      <c r="C80" s="5">
        <f t="shared" si="1"/>
        <v>12000</v>
      </c>
    </row>
    <row r="81" spans="1:5" x14ac:dyDescent="0.25">
      <c r="A81" s="5">
        <v>70000</v>
      </c>
      <c r="B81" s="5">
        <v>80000</v>
      </c>
      <c r="C81" s="5">
        <f t="shared" si="1"/>
        <v>14000</v>
      </c>
    </row>
    <row r="82" spans="1:5" x14ac:dyDescent="0.25">
      <c r="A82" s="27">
        <v>50000</v>
      </c>
      <c r="B82" s="27">
        <v>44600</v>
      </c>
      <c r="C82" s="15">
        <v>10000</v>
      </c>
    </row>
    <row r="84" spans="1:5" x14ac:dyDescent="0.25">
      <c r="A84" s="9" t="s">
        <v>7</v>
      </c>
    </row>
    <row r="86" spans="1:5" x14ac:dyDescent="0.25">
      <c r="A86" s="12" t="s">
        <v>10</v>
      </c>
      <c r="E86" s="1" t="s">
        <v>4</v>
      </c>
    </row>
    <row r="87" spans="1:5" x14ac:dyDescent="0.25">
      <c r="A87" s="16">
        <f>B74</f>
        <v>736</v>
      </c>
      <c r="B87" s="16">
        <v>1</v>
      </c>
      <c r="C87" s="6">
        <f>A74</f>
        <v>1000</v>
      </c>
      <c r="E87" s="17">
        <f>MDETERM(A87:B88)</f>
        <v>-43864</v>
      </c>
    </row>
    <row r="88" spans="1:5" x14ac:dyDescent="0.25">
      <c r="A88" s="16">
        <f>B82</f>
        <v>44600</v>
      </c>
      <c r="B88" s="16">
        <v>1</v>
      </c>
      <c r="C88" s="6">
        <f>A82</f>
        <v>50000</v>
      </c>
    </row>
    <row r="90" spans="1:5" x14ac:dyDescent="0.25">
      <c r="A90" s="12" t="s">
        <v>3</v>
      </c>
    </row>
    <row r="91" spans="1:5" x14ac:dyDescent="0.25">
      <c r="A91" s="18" cm="1">
        <f t="array" ref="A91:B92">MINVERSE(A87:B88)</f>
        <v>-2.2797738464344333E-5</v>
      </c>
      <c r="B91" s="18">
        <v>2.279773846434434E-5</v>
      </c>
    </row>
    <row r="92" spans="1:5" x14ac:dyDescent="0.25">
      <c r="A92" s="18">
        <v>1.0167791355097573</v>
      </c>
      <c r="B92" s="18">
        <v>-1.6779135509757431E-2</v>
      </c>
    </row>
    <row r="94" spans="1:5" x14ac:dyDescent="0.25">
      <c r="A94" s="12" t="s">
        <v>5</v>
      </c>
      <c r="C94" s="1" t="s">
        <v>6</v>
      </c>
    </row>
    <row r="95" spans="1:5" x14ac:dyDescent="0.25">
      <c r="A95" s="19" cm="1">
        <f t="array" ref="A95:A96">MMULT(A91:B92,C87:C88)</f>
        <v>1.1170891847528728</v>
      </c>
      <c r="B95" s="9" t="s">
        <v>8</v>
      </c>
      <c r="C95" s="20" cm="1">
        <f t="array" ref="C95:C96">MMULT(A87:B88,A95:A96)</f>
        <v>1000.0000000000001</v>
      </c>
    </row>
    <row r="96" spans="1:5" x14ac:dyDescent="0.25">
      <c r="A96" s="19">
        <v>177.82236002188574</v>
      </c>
      <c r="B96" s="9" t="s">
        <v>9</v>
      </c>
      <c r="C96" s="20">
        <v>50000.000000000007</v>
      </c>
    </row>
    <row r="99" spans="1:3" x14ac:dyDescent="0.25">
      <c r="A99" s="1" t="s">
        <v>11</v>
      </c>
      <c r="B99" s="5">
        <v>5000</v>
      </c>
    </row>
    <row r="101" spans="1:3" x14ac:dyDescent="0.25">
      <c r="A101" s="25" t="s">
        <v>12</v>
      </c>
      <c r="B101" s="24">
        <f>A95*B99</f>
        <v>5585.4459237643641</v>
      </c>
    </row>
    <row r="102" spans="1:3" x14ac:dyDescent="0.25">
      <c r="A102" s="25" t="s">
        <v>13</v>
      </c>
      <c r="B102" s="24">
        <f>-A96</f>
        <v>-177.82236002188574</v>
      </c>
      <c r="C102" s="21"/>
    </row>
    <row r="103" spans="1:3" x14ac:dyDescent="0.25">
      <c r="B103" s="21"/>
      <c r="C103" s="21"/>
    </row>
    <row r="106" spans="1:3" x14ac:dyDescent="0.25">
      <c r="A106" s="21" t="s">
        <v>14</v>
      </c>
    </row>
    <row r="107" spans="1:3" x14ac:dyDescent="0.25">
      <c r="A107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Trentini</dc:creator>
  <cp:lastModifiedBy>stefano trentini</cp:lastModifiedBy>
  <dcterms:created xsi:type="dcterms:W3CDTF">2015-06-05T18:19:34Z</dcterms:created>
  <dcterms:modified xsi:type="dcterms:W3CDTF">2024-06-24T15:02:38Z</dcterms:modified>
</cp:coreProperties>
</file>